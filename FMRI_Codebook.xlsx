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0"/>
  <workbookPr/>
  <mc:AlternateContent xmlns:mc="http://schemas.openxmlformats.org/markup-compatibility/2006">
    <mc:Choice Requires="x15">
      <x15ac:absPath xmlns:x15ac="http://schemas.microsoft.com/office/spreadsheetml/2010/11/ac" url="/Users/zihan/Desktop/"/>
    </mc:Choice>
  </mc:AlternateContent>
  <xr:revisionPtr revIDLastSave="0" documentId="13_ncr:1_{D0B5F08F-60E0-EF48-9BA1-57727415FAFD}" xr6:coauthVersionLast="47" xr6:coauthVersionMax="47" xr10:uidLastSave="{00000000-0000-0000-0000-000000000000}"/>
  <bookViews>
    <workbookView xWindow="0" yWindow="660" windowWidth="30240" windowHeight="17800" activeTab="1" xr2:uid="{00000000-000D-0000-FFFF-FFFF00000000}"/>
  </bookViews>
  <sheets>
    <sheet name="Read Me" sheetId="1" r:id="rId1"/>
    <sheet name="Codebook" sheetId="2" r:id="rId2"/>
    <sheet name="Saturation" sheetId="4" state="hidden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5" i="4" l="1"/>
  <c r="C35" i="4"/>
  <c r="C34" i="4"/>
  <c r="D33" i="4"/>
  <c r="C33" i="4"/>
  <c r="D32" i="4"/>
  <c r="C32" i="4"/>
  <c r="D31" i="4"/>
  <c r="C31" i="4"/>
  <c r="D30" i="4"/>
  <c r="C30" i="4"/>
  <c r="D29" i="4"/>
  <c r="C29" i="4"/>
  <c r="D28" i="4"/>
  <c r="C28" i="4"/>
  <c r="C27" i="4"/>
  <c r="C26" i="4"/>
  <c r="C25" i="4"/>
  <c r="D24" i="4"/>
  <c r="C24" i="4"/>
  <c r="D23" i="4"/>
  <c r="C23" i="4"/>
  <c r="C22" i="4"/>
  <c r="C21" i="4"/>
  <c r="C20" i="4"/>
  <c r="E20" i="4" s="1"/>
  <c r="C19" i="4"/>
  <c r="C18" i="4"/>
  <c r="E18" i="4" s="1"/>
  <c r="D17" i="4"/>
  <c r="C17" i="4"/>
  <c r="C16" i="4"/>
  <c r="C15" i="4"/>
  <c r="E15" i="4" s="1"/>
  <c r="C14" i="4"/>
  <c r="E14" i="4" s="1"/>
  <c r="C13" i="4"/>
  <c r="E13" i="4" s="1"/>
  <c r="C12" i="4"/>
  <c r="E12" i="4" s="1"/>
  <c r="C11" i="4"/>
  <c r="E11" i="4" s="1"/>
  <c r="C10" i="4"/>
  <c r="E10" i="4" s="1"/>
  <c r="C9" i="4"/>
  <c r="E47" i="2"/>
  <c r="E46" i="2"/>
  <c r="E45" i="2"/>
  <c r="E44" i="2"/>
  <c r="E43" i="2"/>
  <c r="E42" i="2"/>
  <c r="E41" i="2"/>
  <c r="E40" i="2"/>
  <c r="E39" i="2"/>
  <c r="E38" i="2"/>
  <c r="E37" i="2"/>
  <c r="E36" i="2"/>
  <c r="E35" i="2"/>
  <c r="E34" i="2"/>
  <c r="E33" i="2"/>
  <c r="E32" i="2"/>
  <c r="E31" i="2"/>
  <c r="E30" i="2"/>
  <c r="E29" i="2"/>
  <c r="E28" i="2"/>
  <c r="E27" i="2"/>
  <c r="E26" i="2"/>
  <c r="E25" i="2"/>
  <c r="E24" i="2"/>
  <c r="E23" i="2"/>
  <c r="E22" i="2"/>
  <c r="E21" i="2"/>
  <c r="E20" i="2"/>
  <c r="E19" i="2"/>
  <c r="E18" i="2"/>
  <c r="E17" i="2"/>
  <c r="E16" i="2"/>
  <c r="E15" i="2"/>
  <c r="E14" i="2"/>
  <c r="E13" i="2"/>
  <c r="E12" i="2"/>
  <c r="E11" i="2"/>
  <c r="E10" i="2"/>
  <c r="E9" i="2"/>
  <c r="E8" i="2"/>
  <c r="E7" i="2"/>
  <c r="E6" i="2"/>
  <c r="E5" i="2"/>
  <c r="E4" i="2"/>
  <c r="D26" i="4" l="1"/>
  <c r="D15" i="4"/>
  <c r="D34" i="4"/>
  <c r="D25" i="4"/>
  <c r="E9" i="4"/>
  <c r="D11" i="4"/>
  <c r="D10" i="4"/>
  <c r="D9" i="4"/>
  <c r="D12" i="4"/>
  <c r="D13" i="4"/>
  <c r="D14" i="4"/>
  <c r="D16" i="4"/>
  <c r="D18" i="4"/>
  <c r="D27" i="4"/>
  <c r="D20" i="4"/>
  <c r="D19" i="4"/>
  <c r="D21" i="4"/>
  <c r="D22" i="4"/>
  <c r="E19" i="4"/>
  <c r="E16" i="4"/>
  <c r="E17" i="4" s="1"/>
  <c r="E21" i="4"/>
  <c r="E22" i="4" s="1"/>
  <c r="E23" i="4" s="1"/>
  <c r="E24" i="4" s="1"/>
  <c r="E25" i="4" s="1"/>
  <c r="E26" i="4" s="1"/>
  <c r="E27" i="4" s="1"/>
  <c r="E28" i="4" s="1"/>
  <c r="E29" i="4" s="1"/>
  <c r="E30" i="4" s="1"/>
  <c r="E31" i="4" s="1"/>
  <c r="E32" i="4" s="1"/>
  <c r="E33" i="4" s="1"/>
  <c r="E34" i="4" s="1"/>
  <c r="E35" i="4" s="1"/>
</calcChain>
</file>

<file path=xl/sharedStrings.xml><?xml version="1.0" encoding="utf-8"?>
<sst xmlns="http://schemas.openxmlformats.org/spreadsheetml/2006/main" count="223" uniqueCount="215">
  <si>
    <t>Measure</t>
  </si>
  <si>
    <t>Result</t>
  </si>
  <si>
    <t>Interview records</t>
  </si>
  <si>
    <t>Codebook labels</t>
  </si>
  <si>
    <t>Analytic-order limitation</t>
  </si>
  <si>
    <t>fMRI Interview Codebook</t>
  </si>
  <si>
    <t>Category</t>
  </si>
  <si>
    <t>Tag</t>
  </si>
  <si>
    <t>Description</t>
  </si>
  <si>
    <t>Example</t>
  </si>
  <si>
    <t>Interview IDs</t>
  </si>
  <si>
    <t>Participant context</t>
  </si>
  <si>
    <t>High Python comfort (4–5)</t>
  </si>
  <si>
    <t>An overall Python rating of 4, 5, or a 4–5 range. Separate logic/syntax ratings are not forced into one band.</t>
  </si>
  <si>
    <t>P125: overall Python comfort 4. (Paraphrase)</t>
  </si>
  <si>
    <t>P102, P105, P107, P110, P112, P114, P115, P116, P117, P118, P121, P124, P125, P126, P127, P131, P133</t>
  </si>
  <si>
    <t>Moderate Python comfort (3)</t>
  </si>
  <si>
    <t>An overall Python rating of about 3. Excludes P113, who separately rated logic 4 and syntax 2–3.</t>
  </si>
  <si>
    <t>P109: overall Python comfort about 3. (Paraphrase)</t>
  </si>
  <si>
    <t>P104, P109, P130</t>
  </si>
  <si>
    <t>Low Python comfort (0–2)</t>
  </si>
  <si>
    <t>An overall Python rating from 0 to 2, including a 0–1 range. A split rating is retained separately in the distribution.</t>
  </si>
  <si>
    <t>P122: overall Python comfort 2. (Paraphrase)</t>
  </si>
  <si>
    <t>P108, P120, P122, P128</t>
  </si>
  <si>
    <t>Language preference</t>
  </si>
  <si>
    <t>Prefers Python</t>
  </si>
  <si>
    <t>Explicitly chooses Python as a current preferred language. Excludes unclear answers. Multiple preferences may be counted. P112 is included following renewed contextual audio recognition; see the verification note.</t>
  </si>
  <si>
    <t>P125: chooses Python as the preferred language. (Paraphrase)</t>
  </si>
  <si>
    <t>P102, P105, P107, P110, P112, P114, P115, P116, P117, P121, P125, P126, P127, P131, P133</t>
  </si>
  <si>
    <t>Prefers Java</t>
  </si>
  <si>
    <t>The participant would choose Java as a preferred programming language.</t>
  </si>
  <si>
    <t>P122: Java is the favorite; also likes C++. (Paraphrase)</t>
  </si>
  <si>
    <t>P108, P113, P118, P122, P127, P128</t>
  </si>
  <si>
    <t>Prefers C/C++</t>
  </si>
  <si>
    <t>Chooses C or C++ in response to the preference question. Being comfortable with C++ alone is not a preference.</t>
  </si>
  <si>
    <t>P126: chooses Python or C++. (Paraphrase)</t>
  </si>
  <si>
    <t>P104, P109, P114, P117, P120, P122, P124, P126, P130</t>
  </si>
  <si>
    <t>Language readability</t>
  </si>
  <si>
    <t>Python easiest to read</t>
  </si>
  <si>
    <t>The participant says Python code is the clearest or easiest for them to read. P112 is included following renewed contextual audio recognition; see the verification note.</t>
  </si>
  <si>
    <t>P125: chooses Python for readability. (Paraphrase)</t>
  </si>
  <si>
    <t>P102, P104, P107, P108, P109, P110, P112, P113, P114, P116, P118, P119, P120, P121, P124, P125, P126, P127, P128, P130, P131, P133</t>
  </si>
  <si>
    <t>Java/C-family easiest to read</t>
  </si>
  <si>
    <t>The participant says Java, C, or C++ code is the clearest or easiest for them to read.</t>
  </si>
  <si>
    <t>P117: names both C++ and Java for readability. (Paraphrase)</t>
  </si>
  <si>
    <t>P105, P117, P122, P130</t>
  </si>
  <si>
    <t>Task difficulty</t>
  </si>
  <si>
    <t>Recursion harder</t>
  </si>
  <si>
    <t>Finds recursion harder than iteration overall or for a particular task. Task-specific difficulty is not a universal ranking.</t>
  </si>
  <si>
    <t>P125: iteration is easier because recursion requires thinking in subproblems. (Paraphrase)</t>
  </si>
  <si>
    <t>P102, P107, P108, P112, P113, P115, P117, P119, P120, P122, P124, P125, P126, P130, P131</t>
  </si>
  <si>
    <t>Iteration harder</t>
  </si>
  <si>
    <t>Finds iteration harder than recursion overall or for a particular task, including difficulty switching a familiar recursive approach.</t>
  </si>
  <si>
    <t>P203: an iterative question was confusing after thinking backward recursively. (Audio-assisted paraphrase)</t>
  </si>
  <si>
    <t>P102, P118, P121, P128, P203</t>
  </si>
  <si>
    <t>Permutation difficult</t>
  </si>
  <si>
    <t>The participant specifically struggled with the permutation problem.</t>
  </si>
  <si>
    <t>P203: could not work out the permutation problem mentally. (Audio-assisted paraphrase)</t>
  </si>
  <si>
    <t>P104, P109, P112, P117, P120, P127, P203</t>
  </si>
  <si>
    <t>Palindrome difficult</t>
  </si>
  <si>
    <t>The participant specifically struggled with the palindrome problem.</t>
  </si>
  <si>
    <t>P109: struggled to identify the first digit in numeric palindrome. (Paraphrase)</t>
  </si>
  <si>
    <t>P104, P107, P109, P112, P113, P118, P127, P133</t>
  </si>
  <si>
    <t>Tree/symmetry difficult</t>
  </si>
  <si>
    <t>The participant struggled with a tree, balanced-tree, or symmetry problem. P110 identifies recursive binary-tree symmetry (rec_symmetric, stimulus 106).</t>
  </si>
  <si>
    <t>P108: was unsure what symmetry meant for the tree problem. (Paraphrase)</t>
  </si>
  <si>
    <t>P102, P108, P110, P114, P116, P128, P130</t>
  </si>
  <si>
    <t>String manipulation difficult</t>
  </si>
  <si>
    <t>The participant struggled with string operations such as substrings, reversing, indexing, or changing characters.</t>
  </si>
  <si>
    <t>P203: the string problems were difficult; number tasks were easier. (Audio-assisted paraphrase)</t>
  </si>
  <si>
    <t>P102, P120, P130, P133, P203</t>
  </si>
  <si>
    <t>Syntax, API, or recall difficulty</t>
  </si>
  <si>
    <t>Reports difficulty recalling syntax, methods, APIs, or an algorithmic method. Mere lack of practice is not sufficient.</t>
  </si>
  <si>
    <t>P122: could not remember the Python syntax for string length. (Paraphrase)</t>
  </si>
  <si>
    <t>P110, P113, P116, P118, P119, P120, P121, P122, P125, P127, P130, P131, P133</t>
  </si>
  <si>
    <t>Recursive implementation/flow difficult</t>
  </si>
  <si>
    <t>The participant found it difficult to write the recursive process or understand how recursive calls and returns work.</t>
  </si>
  <si>
    <t>P126: choosing recursive arguments was harder than finding the base case. (Paraphrase)</t>
  </si>
  <si>
    <t>P102, P104, P107, P108, P109, P112, P114, P116, P117, P119, P120, P121, P124, P125, P126, P128, P130, P131</t>
  </si>
  <si>
    <t>Task constraints/requirements ambiguous</t>
  </si>
  <si>
    <t>The participant was unsure what the question required or found its instructions and restrictions unclear.</t>
  </si>
  <si>
    <t>P105: wanted return types to clarify whether to mutate, return, or print. (Paraphrase)</t>
  </si>
  <si>
    <t>P102, P105, P108, P112, P114, P119, P128, P130</t>
  </si>
  <si>
    <t>Scanner/keyboard environment impeded performance</t>
  </si>
  <si>
    <t>Reports scanner noise, keyboard/typing restrictions, missing usual tools, or interface behavior interfering with work. Counts perceived effects, not measured performance.</t>
  </si>
  <si>
    <t>P203: noise and difficulty typing interfered with thinking. (Audio-assisted paraphrase)</t>
  </si>
  <si>
    <t>P102, P105, P107, P108, P109, P112, P113, P114, P116, P118, P119, P120, P121, P122, P125, P126, P128, P133, P203</t>
  </si>
  <si>
    <t>Task ease</t>
  </si>
  <si>
    <t>Iteration easier</t>
  </si>
  <si>
    <t>The participant says a loop-based or iterative solution was easier or more natural.</t>
  </si>
  <si>
    <t>P126: loop-based tasks were generally easier. (Paraphrase)</t>
  </si>
  <si>
    <t>P105, P108, P112, P113, P115, P117, P119, P120, P122, P124, P125, P126, P130, P131</t>
  </si>
  <si>
    <t>Base case easier</t>
  </si>
  <si>
    <t>The participant says identifying or writing the recursion stopping condition was easy.</t>
  </si>
  <si>
    <t>P126: the base case was usually easier than the recursive call. (Paraphrase)</t>
  </si>
  <si>
    <t>P108, P109, P110, P114, P120, P121, P126</t>
  </si>
  <si>
    <t>Familiar/practiced problem easier</t>
  </si>
  <si>
    <t>The problem was easier because the participant had seen or practiced something similar before.</t>
  </si>
  <si>
    <t>P131: familiar Fibonacci recursion was easier. (Paraphrase)</t>
  </si>
  <si>
    <t>P102, P104, P109, P110, P112, P113, P116, P117, P119, P121, P122, P126, P127, P128, P130, P131</t>
  </si>
  <si>
    <t>Linear/string/simple task easier</t>
  </si>
  <si>
    <t>The participant found a straightforward, sequential, string, or otherwise simple problem easier.</t>
  </si>
  <si>
    <t>P203: sums and number tasks were easier than strings. (Audio-assisted paraphrase)</t>
  </si>
  <si>
    <t>P102, P104, P105, P107, P109, P112, P114, P115, P118, P119, P121, P124, P125, P127, P128, P130, P131, P133, P203</t>
  </si>
  <si>
    <t>Active/passive flow</t>
  </si>
  <si>
    <t>Active/passive terminology unfamiliar</t>
  </si>
  <si>
    <t>Explicitly reports not having encountered the terminology before. Forgetting the tutorial or giving an unclear prior-exposure answer is not sufficient.</t>
  </si>
  <si>
    <t>P126: had not encountered the terms before. (Paraphrase)</t>
  </si>
  <si>
    <t>P102, P104, P107, P109, P110, P112, P113, P114, P115, P118, P119, P120, P121, P122, P125, P126, P127, P128, P131, P133</t>
  </si>
  <si>
    <t>Labels helpful for structure</t>
  </si>
  <si>
    <t>Explicitly describes a benefit from the active/passive labels, including a qualified benefit. A changed approach alone is not enough. Can coexist with confusion.</t>
  </si>
  <si>
    <t>P131: labels reminded them to include calls, operations, and returns. (Paraphrase)</t>
  </si>
  <si>
    <t>P102, P107, P113, P114, P117, P119, P120, P121, P124, P126, P128, P131, P133</t>
  </si>
  <si>
    <t>Labels unhelpful or confusing</t>
  </si>
  <si>
    <t>Describes confusion, interference, or no useful role for the labels. A neutral unchanged approach without a negative judgment is retained separately.</t>
  </si>
  <si>
    <t>P203: forgot the passive-flow distinction and was unsure where code belonged. (Audio-assisted paraphrase)</t>
  </si>
  <si>
    <t>P102, P105, P108, P109, P112, P114, P115, P116, P117, P121, P125, P127, P128, P130, P131, P203</t>
  </si>
  <si>
    <t>Concept felt intuitive</t>
  </si>
  <si>
    <t>Reports that the underlying idea felt intuitive despite unfamiliar wording. This records the participant’s experience, not verified theoretical correctness.</t>
  </si>
  <si>
    <t>P125: the labels made sense immediately but were not needed. (Paraphrase)</t>
  </si>
  <si>
    <t>P107, P110, P118, P119, P125, P131</t>
  </si>
  <si>
    <t>Active flow as descent/setup</t>
  </si>
  <si>
    <t>Describes active flow as descent, setup, or preparation/calls toward smaller cases. Records the participant’s conception, not a tested technical definition.</t>
  </si>
  <si>
    <t>P126: active flow involves calling the function again. (Paraphrase)</t>
  </si>
  <si>
    <t>P102, P104, P110, P113, P117, P119, P120, P121, P126, P128, P130, P131</t>
  </si>
  <si>
    <t>Passive flow as return/reintegration</t>
  </si>
  <si>
    <t>Describes passive flow as using, returning, or combining recursive results. Records the participant’s conception, not a tested technical definition.</t>
  </si>
  <si>
    <t>P126: passive flow uses the result of the recursive call. (Paraphrase)</t>
  </si>
  <si>
    <t>P102, P104, P110, P113, P119, P120, P121, P126, P128, P131</t>
  </si>
  <si>
    <t>Recursive strategy</t>
  </si>
  <si>
    <t>Start with base case</t>
  </si>
  <si>
    <t>Starts by identifying the stopping condition at least sometimes. Includes flexible order and P122’s recursion–iteration comparison; does not mean always starts there.</t>
  </si>
  <si>
    <t>P117: starts with the base case when no solution is already known. (Paraphrase)</t>
  </si>
  <si>
    <t>P102, P105, P107, P108, P110, P112, P113, P116, P117, P118, P119, P120, P121, P122, P124, P125, P126, P128, P131, P133, P203</t>
  </si>
  <si>
    <t>Usually develop base case last</t>
  </si>
  <si>
    <t>Explicitly says the base case is usually developed last. Conditional or flexible order is a separate category in the report.</t>
  </si>
  <si>
    <t>P114: typically thinks about the base case last. (Paraphrase)</t>
  </si>
  <si>
    <t>P114</t>
  </si>
  <si>
    <t>Decompose into smaller subproblems</t>
  </si>
  <si>
    <t>The participant solves the task by treating it as the same problem with a smaller input.</t>
  </si>
  <si>
    <t>P126: moves string start/end positions closer together. (Paraphrase)</t>
  </si>
  <si>
    <t>P102, P104, P105, P107, P109, P110, P112, P113, P114, P115, P116, P118, P119, P120, P122, P124, P125, P126, P128, P203</t>
  </si>
  <si>
    <t>Plan return and combination</t>
  </si>
  <si>
    <t>The participant thinks about what each recursive call should return and how the returned results should be combined.</t>
  </si>
  <si>
    <t>P125: considers how to combine the results of recursive calls. (Paraphrase)</t>
  </si>
  <si>
    <t>P102, P104, P105, P107, P110, P112, P113, P114, P116, P119, P120, P121, P122, P125, P126, P131, P133</t>
  </si>
  <si>
    <t>Visualize or draw recursion</t>
  </si>
  <si>
    <t>Uses or wishes to use a mental structure, drawing, tree, or stack to reason about recursive coding. Includes usual practice outside the scanner; excludes language-only imagery.</t>
  </si>
  <si>
    <t>P107: wants to draw or sketch recursive calls. (Paraphrase)</t>
  </si>
  <si>
    <t>P102, P107, P108, P115, P118, P119, P120, P121, P124, P130, P131, P203</t>
  </si>
  <si>
    <t>Use helper function</t>
  </si>
  <si>
    <t>Uses, proposes, or wants a helper function to support recursion. Does not imply the helper was implemented during the task.</t>
  </si>
  <si>
    <t>P126: uses a two-argument helper for tree symmetry. (Audio-assisted paraphrase)</t>
  </si>
  <si>
    <t>P107, P114, P126</t>
  </si>
  <si>
    <t>Work through concrete example</t>
  </si>
  <si>
    <t>The participant tests or traces the solution with a specific sample input.</t>
  </si>
  <si>
    <t>P203: reasons through a Fibonacci example beginning with eight. (Audio-assisted paraphrase)</t>
  </si>
  <si>
    <t>P108, P109, P119, P120, P124, P128, P203</t>
  </si>
  <si>
    <t>Use skeleton, comments, or partial code</t>
  </si>
  <si>
    <t>Uses a self-written outline, comments, pseudocode, or partial code as a working draft or memory aid. Excludes merely finding supplied pseudocode helpful.</t>
  </si>
  <si>
    <t>P130: partial code serves as a placeholder while the solution develops. (Paraphrase)</t>
  </si>
  <si>
    <t>P116, P119, P120, P127, P128, P130</t>
  </si>
  <si>
    <t>Iterative strategy</t>
  </si>
  <si>
    <t>Sequential step-by-step reasoning</t>
  </si>
  <si>
    <t>The participant thinks about an iterative solution as an ordered series of actions, one step after another.</t>
  </si>
  <si>
    <t>P203: contrasts forward iterative reasoning with backward recursive reasoning. (Audio-assisted paraphrase)</t>
  </si>
  <si>
    <t>P102, P108, P112, P114, P115, P118, P119, P120, P122, P124, P125, P130, P133, P203</t>
  </si>
  <si>
    <t>Plan loop, bounds, and state</t>
  </si>
  <si>
    <t>The participant plans the loop, its start and stop conditions, and variables such as indices, counters, or stored results.</t>
  </si>
  <si>
    <t>P126: focuses on loop bounds and what happens each iteration. (Paraphrase)</t>
  </si>
  <si>
    <t>P102, P104, P105, P112, P113, P114, P115, P116, P117, P118, P119, P120, P122, P125, P126, P128, P131, P133, P203</t>
  </si>
  <si>
    <t>Natural language–code relation</t>
  </si>
  <si>
    <t>Natural language easier/more intuitive</t>
  </si>
  <si>
    <t>The participant finds the word-based questions easier or more natural than writing code.</t>
  </si>
  <si>
    <t>P125: familiar language is easier than tracking variables in recursive code. (Paraphrase)</t>
  </si>
  <si>
    <t>P109, P113, P115, P120, P125, P128, P130</t>
  </si>
  <si>
    <t>Generating/scaling examples difficult</t>
  </si>
  <si>
    <t>Reports difficulty generating, ranking, or extending enough language examples. Includes listing and ordered comparisons where relevant.</t>
  </si>
  <si>
    <t>P203: struggles to find intermediate loudness examples before thunder. (Audio-assisted paraphrase)</t>
  </si>
  <si>
    <t>P102, P104, P105, P107, P108, P112, P114, P116, P117, P119, P120, P121, P122, P124, P126, P127, P128, P130, P131, P133, P203</t>
  </si>
  <si>
    <t>Shared coding–language pattern</t>
  </si>
  <si>
    <t>Describes a coding–language connection, including qualified, prompted, or broader code–language analogies. Does not imply identical processes or spontaneous recognition. Includes P127’s qualified connection between the iterative task pair, alongside recursive-task differences.</t>
  </si>
  <si>
    <t>P110: relates coding to storytelling and poetry, while acknowledging the influence of prior interest or teaching experience. (Paraphrase)</t>
  </si>
  <si>
    <t>P102, P104, P107, P108, P110, P113, P116, P117, P118, P119, P121, P122, P124, P125, P127, P130, P131, P203</t>
  </si>
  <si>
    <t>Different or opposite process</t>
  </si>
  <si>
    <t>Describes a difference between coding and language tasks. Coding-only recursion-versus-iteration comparisons do not qualify. Can coexist with similarity.</t>
  </si>
  <si>
    <t>P114 contrasts easier recursive steps with harder prose steps. (Paraphrase)</t>
  </si>
  <si>
    <t>P105, P107, P108, P109, P112, P113, P114, P115, P117, P119, P120, P121, P124, P125, P126, P127, P128, P130, P131, P203</t>
  </si>
  <si>
    <t>Each answer constrained by prior answer</t>
  </si>
  <si>
    <t>The participant understands that each new answer must depend on, compare with, or relate to the previous answer.</t>
  </si>
  <si>
    <t>P126: language examples must relate by comparison, unlike free listing. (Paraphrase)</t>
  </si>
  <si>
    <t>P102, P104, P107, P108, P109, P112, P113, P114, P116, P117, P118, P119, P120, P121, P122, P124, P126, P127, P128, P130, P131, P133, P203</t>
  </si>
  <si>
    <t>Discuss range, extremes, or endpoints</t>
  </si>
  <si>
    <t>Discusses a range, limit, extreme, or endpoint in the language task, including noticing a boundary while answering. Does not establish endpoint-first planning.</t>
  </si>
  <si>
    <t>P118: reconsiders the answer and describes saving absolute extremes for last. (Paraphrase)</t>
  </si>
  <si>
    <t>P102, P107, P108, P112, P115, P116, P118, P119, P120, P121, P122, P126, P130, P133, P203</t>
  </si>
  <si>
    <t>Analytic order</t>
  </si>
  <si>
    <t>Interview ID</t>
  </si>
  <si>
    <t>High Python comfort (4–5); Prefers Python; Python easiest to read; Recursion harder; Iteration harder; Tree/symmetry difficult; String manipulation difficult; Recursive implementation/flow difficult; Task constraints/requirements ambiguous; Scanner/keyboard environment impeded performance; Familiar/practiced problem easier; Linear/string/simple task easier; Active/passive terminology unfamiliar; Labels helpful for structure; Labels unhelpful or confusing; Active flow as descent/setup; Passive flow as return/reintegration; Start with base case; Decompose into smaller subproblems; Plan return and combination; Visualize or draw recursion; Sequential step-by-step reasoning; Plan loop, bounds, and state; Generating/scaling examples difficult; Shared coding–language pattern; Each answer constrained by prior answer; Discuss range, extremes, or endpoints</t>
  </si>
  <si>
    <t>Code Coverage by Interview Order</t>
  </si>
  <si>
    <t>First occurrence of the 44 corrected labels in ascending interview-ID order. This descriptive calculation is not evidence of thematic saturation.</t>
  </si>
  <si>
    <t>Last new-code record</t>
  </si>
  <si>
    <t>Criterion</t>
  </si>
  <si>
    <t>Last record introducing any of these 44 corrected codebook labels.</t>
  </si>
  <si>
    <t>Three later zero-new records</t>
  </si>
  <si>
    <t>Three records after the last new label; a descriptive count, not independent confirmation of saturation.</t>
  </si>
  <si>
    <t>Ascending interview ID, not chronological completion order. Final roster excludes P101 and P103 and retains P119, P128, and P203. Changes to order or code definitions can change these results.</t>
  </si>
  <si>
    <t>New code count</t>
  </si>
  <si>
    <t>Cumulative labels</t>
  </si>
  <si>
    <t>Zero-new streak</t>
  </si>
  <si>
    <t>New codebook labels</t>
  </si>
  <si>
    <t>Moderate Python comfort (3); Prefers C/C++; Permutation difficult; Palindrome difficult</t>
  </si>
  <si>
    <t>Java/C-family easiest to read; Iteration easier; Different or opposite process</t>
  </si>
  <si>
    <t>Concept felt intuitive; Use helper function</t>
  </si>
  <si>
    <t>Low Python comfort (0–2); Prefers Java; Base case easier; Work through concrete example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</si>
</sst>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name val="Carlito"/>
    </font>
    <font>
      <b/>
      <sz val="18"/>
      <color rgb="FFFFFFFF"/>
      <name val="Arial"/>
      <family val="2"/>
    </font>
    <font>
      <i/>
      <sz val="10"/>
      <color rgb="FF244062"/>
      <name val="Arial"/>
      <family val="2"/>
    </font>
    <font>
      <b/>
      <sz val="10"/>
      <color rgb="FF17365D"/>
      <name val="Arial"/>
      <family val="2"/>
    </font>
    <font>
      <sz val="10"/>
      <color rgb="FF1F1F1F"/>
      <name val="Arial"/>
      <family val="2"/>
    </font>
    <font>
      <b/>
      <sz val="10"/>
      <color rgb="FF1F1F1F"/>
      <name val="Arial"/>
      <family val="2"/>
    </font>
    <font>
      <sz val="11"/>
      <color rgb="FF1F1F1F"/>
      <name val="Arial"/>
      <family val="2"/>
    </font>
    <font>
      <b/>
      <sz val="11"/>
      <color rgb="FFFFFFFF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DEBF7"/>
      </patternFill>
    </fill>
    <fill>
      <patternFill patternType="solid">
        <fgColor rgb="FFBDD7EE"/>
      </patternFill>
    </fill>
    <fill>
      <patternFill patternType="solid">
        <fgColor rgb="FFFCE4EC"/>
      </patternFill>
    </fill>
    <fill>
      <patternFill patternType="solid">
        <fgColor rgb="FFF2F2F2"/>
      </patternFill>
    </fill>
    <fill>
      <patternFill patternType="solid">
        <fgColor rgb="FFFFF2CC"/>
      </patternFill>
    </fill>
    <fill>
      <patternFill patternType="solid">
        <fgColor rgb="FFE2F0D9"/>
      </patternFill>
    </fill>
    <fill>
      <patternFill patternType="solid">
        <fgColor rgb="FF1F4E78"/>
      </patternFill>
    </fill>
    <fill>
      <patternFill patternType="solid">
        <fgColor rgb="FF1F4E78"/>
      </patternFill>
    </fill>
  </fills>
  <borders count="5">
    <border>
      <left/>
      <right/>
      <top/>
      <bottom/>
      <diagonal/>
    </border>
    <border>
      <left style="thin">
        <color rgb="FFC9D2DC"/>
      </left>
      <right style="thin">
        <color rgb="FFC9D2DC"/>
      </right>
      <top style="thin">
        <color rgb="FFC9D2DC"/>
      </top>
      <bottom style="thin">
        <color rgb="FFC9D2DC"/>
      </bottom>
      <diagonal/>
    </border>
    <border>
      <left style="thin">
        <color rgb="FFC9D2DC"/>
      </left>
      <right style="thin">
        <color rgb="FFC9D2DC"/>
      </right>
      <top style="thin">
        <color rgb="FFC9D2DC"/>
      </top>
      <bottom/>
      <diagonal/>
    </border>
    <border>
      <left style="thin">
        <color rgb="FFC9D2DC"/>
      </left>
      <right style="thin">
        <color rgb="FFC9D2DC"/>
      </right>
      <top/>
      <bottom/>
      <diagonal/>
    </border>
    <border>
      <left style="thin">
        <color rgb="FFC9D2DC"/>
      </left>
      <right style="thin">
        <color rgb="FFC9D2DC"/>
      </right>
      <top/>
      <bottom style="thin">
        <color rgb="FFC9D2DC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3" fillId="4" borderId="1" xfId="0" applyFont="1" applyFill="1" applyBorder="1" applyAlignment="1">
      <alignment horizontal="left" vertical="center" wrapText="1"/>
    </xf>
    <xf numFmtId="0" fontId="4" fillId="6" borderId="1" xfId="0" applyFont="1" applyFill="1" applyBorder="1" applyAlignment="1">
      <alignment vertical="top" wrapText="1"/>
    </xf>
    <xf numFmtId="0" fontId="4" fillId="5" borderId="1" xfId="0" applyFont="1" applyFill="1" applyBorder="1" applyAlignment="1">
      <alignment vertical="top" wrapText="1"/>
    </xf>
    <xf numFmtId="0" fontId="4" fillId="7" borderId="1" xfId="0" applyFont="1" applyFill="1" applyBorder="1" applyAlignment="1">
      <alignment vertical="top" wrapText="1"/>
    </xf>
    <xf numFmtId="0" fontId="4" fillId="8" borderId="1" xfId="0" applyFont="1" applyFill="1" applyBorder="1" applyAlignment="1">
      <alignment vertical="top" wrapText="1"/>
    </xf>
    <xf numFmtId="0" fontId="4" fillId="3" borderId="1" xfId="0" applyFont="1" applyFill="1" applyBorder="1" applyAlignment="1">
      <alignment vertical="center" wrapText="1"/>
    </xf>
    <xf numFmtId="0" fontId="4" fillId="5" borderId="1" xfId="0" applyFont="1" applyFill="1" applyBorder="1" applyAlignment="1">
      <alignment vertical="center" wrapText="1"/>
    </xf>
    <xf numFmtId="0" fontId="7" fillId="10" borderId="1" xfId="0" applyFont="1" applyFill="1" applyBorder="1" applyAlignment="1">
      <alignment horizontal="left" vertical="center" wrapText="1"/>
    </xf>
    <xf numFmtId="0" fontId="6" fillId="0" borderId="1" xfId="0" applyFont="1" applyBorder="1" applyAlignment="1">
      <alignment vertical="center" wrapText="1"/>
    </xf>
    <xf numFmtId="0" fontId="0" fillId="0" borderId="0" xfId="0" applyAlignment="1">
      <alignment wrapText="1"/>
    </xf>
    <xf numFmtId="0" fontId="1" fillId="2" borderId="0" xfId="0" applyFont="1" applyFill="1" applyAlignment="1">
      <alignment vertical="center"/>
    </xf>
    <xf numFmtId="0" fontId="0" fillId="9" borderId="0" xfId="0" applyFill="1"/>
    <xf numFmtId="0" fontId="5" fillId="3" borderId="2" xfId="0" applyFont="1" applyFill="1" applyBorder="1" applyAlignment="1">
      <alignment horizontal="center" vertical="center" wrapText="1"/>
    </xf>
    <xf numFmtId="0" fontId="5" fillId="3" borderId="3" xfId="0" applyFont="1" applyFill="1" applyBorder="1" applyAlignment="1">
      <alignment horizontal="center" vertical="center" wrapText="1"/>
    </xf>
    <xf numFmtId="0" fontId="5" fillId="3" borderId="4" xfId="0" applyFont="1" applyFill="1" applyBorder="1" applyAlignment="1">
      <alignment horizontal="center" vertical="center" wrapText="1"/>
    </xf>
    <xf numFmtId="0" fontId="5" fillId="5" borderId="2" xfId="0" applyFont="1" applyFill="1" applyBorder="1" applyAlignment="1">
      <alignment horizontal="center" vertical="center" wrapText="1"/>
    </xf>
    <xf numFmtId="0" fontId="5" fillId="5" borderId="3" xfId="0" applyFont="1" applyFill="1" applyBorder="1" applyAlignment="1">
      <alignment horizontal="center" vertical="center" wrapText="1"/>
    </xf>
    <xf numFmtId="0" fontId="5" fillId="5" borderId="4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vertical="center" wrapText="1"/>
    </xf>
    <xf numFmtId="0" fontId="2" fillId="3" borderId="0" xfId="0" applyFont="1" applyFill="1" applyAlignment="1">
      <alignment vertical="center" wrapText="1"/>
    </xf>
    <xf numFmtId="0" fontId="4" fillId="7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6"/>
  <sheetViews>
    <sheetView showGridLines="0" workbookViewId="0">
      <selection activeCell="B9" sqref="B9"/>
    </sheetView>
  </sheetViews>
  <sheetFormatPr baseColWidth="10" defaultColWidth="8.83203125" defaultRowHeight="15"/>
  <cols>
    <col min="1" max="1" width="30" customWidth="1"/>
    <col min="2" max="2" width="115" customWidth="1"/>
    <col min="3" max="5" width="22" customWidth="1"/>
    <col min="6" max="6" width="72.1640625" customWidth="1"/>
  </cols>
  <sheetData>
    <row r="1" spans="1:2" ht="14" customHeight="1">
      <c r="A1" s="8" t="s">
        <v>0</v>
      </c>
      <c r="B1" s="8" t="s">
        <v>1</v>
      </c>
    </row>
    <row r="2" spans="1:2" ht="14" customHeight="1">
      <c r="A2" s="9" t="s">
        <v>2</v>
      </c>
      <c r="B2" s="9">
        <v>27</v>
      </c>
    </row>
    <row r="3" spans="1:2" ht="14" customHeight="1">
      <c r="A3" s="9" t="s">
        <v>3</v>
      </c>
      <c r="B3" s="9">
        <v>44</v>
      </c>
    </row>
    <row r="4" spans="1:2" ht="47" customHeight="1"/>
    <row r="5" spans="1:2" ht="47" customHeight="1"/>
    <row r="6" spans="1:2" ht="47" customHeight="1"/>
    <row r="7" spans="1:2" ht="47" customHeight="1"/>
    <row r="8" spans="1:2" ht="47" customHeight="1"/>
    <row r="9" spans="1:2" ht="47" customHeight="1"/>
    <row r="10" spans="1:2" ht="47" customHeight="1"/>
    <row r="11" spans="1:2" ht="47" customHeight="1"/>
    <row r="12" spans="1:2" ht="47" customHeight="1"/>
    <row r="13" spans="1:2" ht="34" customHeight="1"/>
    <row r="14" spans="1:2" ht="34" customHeight="1"/>
    <row r="15" spans="1:2" ht="34" customHeight="1"/>
    <row r="16" spans="1:2" ht="34" customHeight="1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47"/>
  <sheetViews>
    <sheetView showGridLines="0" tabSelected="1" workbookViewId="0">
      <pane ySplit="3" topLeftCell="A36" activePane="bottomLeft" state="frozen"/>
      <selection pane="bottomLeft" sqref="A1:F1"/>
    </sheetView>
  </sheetViews>
  <sheetFormatPr baseColWidth="10" defaultColWidth="8.83203125" defaultRowHeight="15"/>
  <cols>
    <col min="1" max="1" width="22" customWidth="1"/>
    <col min="2" max="2" width="34" customWidth="1"/>
    <col min="3" max="3" width="58" customWidth="1"/>
    <col min="4" max="4" width="50" customWidth="1"/>
    <col min="5" max="5" width="15" customWidth="1"/>
    <col min="6" max="6" width="57" customWidth="1"/>
  </cols>
  <sheetData>
    <row r="1" spans="1:6" ht="31" customHeight="1">
      <c r="A1" s="11" t="s">
        <v>5</v>
      </c>
      <c r="B1" s="11"/>
      <c r="C1" s="11"/>
      <c r="D1" s="11"/>
      <c r="E1" s="11"/>
      <c r="F1" s="12"/>
    </row>
    <row r="3" spans="1:6" ht="32" customHeight="1">
      <c r="A3" s="1" t="s">
        <v>6</v>
      </c>
      <c r="B3" s="1" t="s">
        <v>7</v>
      </c>
      <c r="C3" s="1" t="s">
        <v>8</v>
      </c>
      <c r="D3" s="1" t="s">
        <v>9</v>
      </c>
      <c r="E3" s="1" t="s">
        <v>2</v>
      </c>
      <c r="F3" s="1" t="s">
        <v>10</v>
      </c>
    </row>
    <row r="4" spans="1:6" ht="46" customHeight="1">
      <c r="A4" s="13" t="s">
        <v>11</v>
      </c>
      <c r="B4" s="6" t="s">
        <v>12</v>
      </c>
      <c r="C4" s="6" t="s">
        <v>13</v>
      </c>
      <c r="D4" s="6" t="s">
        <v>14</v>
      </c>
      <c r="E4" s="6">
        <f t="shared" ref="E4:E47" si="0">IF(F4="",0,LEN(F4)-LEN(SUBSTITUTE(F4,",",""))+1)</f>
        <v>17</v>
      </c>
      <c r="F4" s="6" t="s">
        <v>15</v>
      </c>
    </row>
    <row r="5" spans="1:6" ht="46" customHeight="1">
      <c r="A5" s="14"/>
      <c r="B5" s="6" t="s">
        <v>16</v>
      </c>
      <c r="C5" s="6" t="s">
        <v>17</v>
      </c>
      <c r="D5" s="6" t="s">
        <v>18</v>
      </c>
      <c r="E5" s="6">
        <f t="shared" si="0"/>
        <v>3</v>
      </c>
      <c r="F5" s="6" t="s">
        <v>19</v>
      </c>
    </row>
    <row r="6" spans="1:6" ht="59" customHeight="1">
      <c r="A6" s="15"/>
      <c r="B6" s="6" t="s">
        <v>20</v>
      </c>
      <c r="C6" s="6" t="s">
        <v>21</v>
      </c>
      <c r="D6" s="6" t="s">
        <v>22</v>
      </c>
      <c r="E6" s="6">
        <f t="shared" si="0"/>
        <v>4</v>
      </c>
      <c r="F6" s="6" t="s">
        <v>23</v>
      </c>
    </row>
    <row r="7" spans="1:6" ht="74" customHeight="1">
      <c r="A7" s="16" t="s">
        <v>24</v>
      </c>
      <c r="B7" s="7" t="s">
        <v>25</v>
      </c>
      <c r="C7" s="7" t="s">
        <v>26</v>
      </c>
      <c r="D7" s="7" t="s">
        <v>27</v>
      </c>
      <c r="E7" s="7">
        <f t="shared" si="0"/>
        <v>15</v>
      </c>
      <c r="F7" s="7" t="s">
        <v>28</v>
      </c>
    </row>
    <row r="8" spans="1:6" ht="46" customHeight="1">
      <c r="A8" s="17"/>
      <c r="B8" s="7" t="s">
        <v>29</v>
      </c>
      <c r="C8" s="7" t="s">
        <v>30</v>
      </c>
      <c r="D8" s="7" t="s">
        <v>31</v>
      </c>
      <c r="E8" s="7">
        <f t="shared" si="0"/>
        <v>6</v>
      </c>
      <c r="F8" s="7" t="s">
        <v>32</v>
      </c>
    </row>
    <row r="9" spans="1:6" ht="46" customHeight="1">
      <c r="A9" s="18"/>
      <c r="B9" s="7" t="s">
        <v>33</v>
      </c>
      <c r="C9" s="7" t="s">
        <v>34</v>
      </c>
      <c r="D9" s="7" t="s">
        <v>35</v>
      </c>
      <c r="E9" s="7">
        <f t="shared" si="0"/>
        <v>9</v>
      </c>
      <c r="F9" s="7" t="s">
        <v>36</v>
      </c>
    </row>
    <row r="10" spans="1:6" ht="59" customHeight="1">
      <c r="A10" s="13" t="s">
        <v>37</v>
      </c>
      <c r="B10" s="6" t="s">
        <v>38</v>
      </c>
      <c r="C10" s="6" t="s">
        <v>39</v>
      </c>
      <c r="D10" s="6" t="s">
        <v>40</v>
      </c>
      <c r="E10" s="6">
        <f t="shared" si="0"/>
        <v>22</v>
      </c>
      <c r="F10" s="6" t="s">
        <v>41</v>
      </c>
    </row>
    <row r="11" spans="1:6" ht="46" customHeight="1">
      <c r="A11" s="15"/>
      <c r="B11" s="6" t="s">
        <v>42</v>
      </c>
      <c r="C11" s="6" t="s">
        <v>43</v>
      </c>
      <c r="D11" s="6" t="s">
        <v>44</v>
      </c>
      <c r="E11" s="6">
        <f t="shared" si="0"/>
        <v>4</v>
      </c>
      <c r="F11" s="6" t="s">
        <v>45</v>
      </c>
    </row>
    <row r="12" spans="1:6" ht="59" customHeight="1">
      <c r="A12" s="16" t="s">
        <v>46</v>
      </c>
      <c r="B12" s="7" t="s">
        <v>47</v>
      </c>
      <c r="C12" s="7" t="s">
        <v>48</v>
      </c>
      <c r="D12" s="7" t="s">
        <v>49</v>
      </c>
      <c r="E12" s="7">
        <f t="shared" si="0"/>
        <v>15</v>
      </c>
      <c r="F12" s="7" t="s">
        <v>50</v>
      </c>
    </row>
    <row r="13" spans="1:6" ht="59" customHeight="1">
      <c r="A13" s="17"/>
      <c r="B13" s="7" t="s">
        <v>51</v>
      </c>
      <c r="C13" s="7" t="s">
        <v>52</v>
      </c>
      <c r="D13" s="7" t="s">
        <v>53</v>
      </c>
      <c r="E13" s="7">
        <f t="shared" si="0"/>
        <v>5</v>
      </c>
      <c r="F13" s="7" t="s">
        <v>54</v>
      </c>
    </row>
    <row r="14" spans="1:6" ht="46" customHeight="1">
      <c r="A14" s="17"/>
      <c r="B14" s="7" t="s">
        <v>55</v>
      </c>
      <c r="C14" s="7" t="s">
        <v>56</v>
      </c>
      <c r="D14" s="7" t="s">
        <v>57</v>
      </c>
      <c r="E14" s="7">
        <f t="shared" si="0"/>
        <v>7</v>
      </c>
      <c r="F14" s="7" t="s">
        <v>58</v>
      </c>
    </row>
    <row r="15" spans="1:6" ht="46" customHeight="1">
      <c r="A15" s="17"/>
      <c r="B15" s="7" t="s">
        <v>59</v>
      </c>
      <c r="C15" s="7" t="s">
        <v>60</v>
      </c>
      <c r="D15" s="7" t="s">
        <v>61</v>
      </c>
      <c r="E15" s="7">
        <f t="shared" si="0"/>
        <v>8</v>
      </c>
      <c r="F15" s="7" t="s">
        <v>62</v>
      </c>
    </row>
    <row r="16" spans="1:6" ht="59" customHeight="1">
      <c r="A16" s="17"/>
      <c r="B16" s="7" t="s">
        <v>63</v>
      </c>
      <c r="C16" s="7" t="s">
        <v>64</v>
      </c>
      <c r="D16" s="7" t="s">
        <v>65</v>
      </c>
      <c r="E16" s="7">
        <f t="shared" si="0"/>
        <v>7</v>
      </c>
      <c r="F16" s="7" t="s">
        <v>66</v>
      </c>
    </row>
    <row r="17" spans="1:6" ht="46" customHeight="1">
      <c r="A17" s="17"/>
      <c r="B17" s="7" t="s">
        <v>67</v>
      </c>
      <c r="C17" s="7" t="s">
        <v>68</v>
      </c>
      <c r="D17" s="7" t="s">
        <v>69</v>
      </c>
      <c r="E17" s="7">
        <f t="shared" si="0"/>
        <v>5</v>
      </c>
      <c r="F17" s="7" t="s">
        <v>70</v>
      </c>
    </row>
    <row r="18" spans="1:6" ht="59" customHeight="1">
      <c r="A18" s="17"/>
      <c r="B18" s="7" t="s">
        <v>71</v>
      </c>
      <c r="C18" s="7" t="s">
        <v>72</v>
      </c>
      <c r="D18" s="7" t="s">
        <v>73</v>
      </c>
      <c r="E18" s="7">
        <f t="shared" si="0"/>
        <v>13</v>
      </c>
      <c r="F18" s="7" t="s">
        <v>74</v>
      </c>
    </row>
    <row r="19" spans="1:6" ht="59" customHeight="1">
      <c r="A19" s="17"/>
      <c r="B19" s="7" t="s">
        <v>75</v>
      </c>
      <c r="C19" s="7" t="s">
        <v>76</v>
      </c>
      <c r="D19" s="7" t="s">
        <v>77</v>
      </c>
      <c r="E19" s="7">
        <f t="shared" si="0"/>
        <v>18</v>
      </c>
      <c r="F19" s="7" t="s">
        <v>78</v>
      </c>
    </row>
    <row r="20" spans="1:6" ht="46" customHeight="1">
      <c r="A20" s="17"/>
      <c r="B20" s="7" t="s">
        <v>79</v>
      </c>
      <c r="C20" s="7" t="s">
        <v>80</v>
      </c>
      <c r="D20" s="7" t="s">
        <v>81</v>
      </c>
      <c r="E20" s="7">
        <f t="shared" si="0"/>
        <v>8</v>
      </c>
      <c r="F20" s="7" t="s">
        <v>82</v>
      </c>
    </row>
    <row r="21" spans="1:6" ht="59" customHeight="1">
      <c r="A21" s="18"/>
      <c r="B21" s="7" t="s">
        <v>83</v>
      </c>
      <c r="C21" s="7" t="s">
        <v>84</v>
      </c>
      <c r="D21" s="7" t="s">
        <v>85</v>
      </c>
      <c r="E21" s="7">
        <f t="shared" si="0"/>
        <v>19</v>
      </c>
      <c r="F21" s="7" t="s">
        <v>86</v>
      </c>
    </row>
    <row r="22" spans="1:6" ht="46" customHeight="1">
      <c r="A22" s="13" t="s">
        <v>87</v>
      </c>
      <c r="B22" s="6" t="s">
        <v>88</v>
      </c>
      <c r="C22" s="6" t="s">
        <v>89</v>
      </c>
      <c r="D22" s="6" t="s">
        <v>90</v>
      </c>
      <c r="E22" s="6">
        <f t="shared" si="0"/>
        <v>14</v>
      </c>
      <c r="F22" s="6" t="s">
        <v>91</v>
      </c>
    </row>
    <row r="23" spans="1:6" ht="46" customHeight="1">
      <c r="A23" s="14"/>
      <c r="B23" s="6" t="s">
        <v>92</v>
      </c>
      <c r="C23" s="6" t="s">
        <v>93</v>
      </c>
      <c r="D23" s="6" t="s">
        <v>94</v>
      </c>
      <c r="E23" s="6">
        <f t="shared" si="0"/>
        <v>7</v>
      </c>
      <c r="F23" s="6" t="s">
        <v>95</v>
      </c>
    </row>
    <row r="24" spans="1:6" ht="46" customHeight="1">
      <c r="A24" s="14"/>
      <c r="B24" s="6" t="s">
        <v>96</v>
      </c>
      <c r="C24" s="6" t="s">
        <v>97</v>
      </c>
      <c r="D24" s="6" t="s">
        <v>98</v>
      </c>
      <c r="E24" s="6">
        <f t="shared" si="0"/>
        <v>16</v>
      </c>
      <c r="F24" s="6" t="s">
        <v>99</v>
      </c>
    </row>
    <row r="25" spans="1:6" ht="46" customHeight="1">
      <c r="A25" s="15"/>
      <c r="B25" s="6" t="s">
        <v>100</v>
      </c>
      <c r="C25" s="6" t="s">
        <v>101</v>
      </c>
      <c r="D25" s="6" t="s">
        <v>102</v>
      </c>
      <c r="E25" s="6">
        <f t="shared" si="0"/>
        <v>19</v>
      </c>
      <c r="F25" s="6" t="s">
        <v>103</v>
      </c>
    </row>
    <row r="26" spans="1:6" ht="59" customHeight="1">
      <c r="A26" s="16" t="s">
        <v>104</v>
      </c>
      <c r="B26" s="7" t="s">
        <v>105</v>
      </c>
      <c r="C26" s="7" t="s">
        <v>106</v>
      </c>
      <c r="D26" s="7" t="s">
        <v>107</v>
      </c>
      <c r="E26" s="7">
        <f t="shared" si="0"/>
        <v>20</v>
      </c>
      <c r="F26" s="7" t="s">
        <v>108</v>
      </c>
    </row>
    <row r="27" spans="1:6" ht="59" customHeight="1">
      <c r="A27" s="17"/>
      <c r="B27" s="7" t="s">
        <v>109</v>
      </c>
      <c r="C27" s="7" t="s">
        <v>110</v>
      </c>
      <c r="D27" s="7" t="s">
        <v>111</v>
      </c>
      <c r="E27" s="7">
        <f t="shared" si="0"/>
        <v>13</v>
      </c>
      <c r="F27" s="7" t="s">
        <v>112</v>
      </c>
    </row>
    <row r="28" spans="1:6" ht="59" customHeight="1">
      <c r="A28" s="17"/>
      <c r="B28" s="7" t="s">
        <v>113</v>
      </c>
      <c r="C28" s="7" t="s">
        <v>114</v>
      </c>
      <c r="D28" s="7" t="s">
        <v>115</v>
      </c>
      <c r="E28" s="7">
        <f t="shared" si="0"/>
        <v>16</v>
      </c>
      <c r="F28" s="7" t="s">
        <v>116</v>
      </c>
    </row>
    <row r="29" spans="1:6" ht="59" customHeight="1">
      <c r="A29" s="17"/>
      <c r="B29" s="7" t="s">
        <v>117</v>
      </c>
      <c r="C29" s="7" t="s">
        <v>118</v>
      </c>
      <c r="D29" s="7" t="s">
        <v>119</v>
      </c>
      <c r="E29" s="7">
        <f t="shared" si="0"/>
        <v>6</v>
      </c>
      <c r="F29" s="7" t="s">
        <v>120</v>
      </c>
    </row>
    <row r="30" spans="1:6" ht="59" customHeight="1">
      <c r="A30" s="17"/>
      <c r="B30" s="7" t="s">
        <v>121</v>
      </c>
      <c r="C30" s="7" t="s">
        <v>122</v>
      </c>
      <c r="D30" s="7" t="s">
        <v>123</v>
      </c>
      <c r="E30" s="7">
        <f t="shared" si="0"/>
        <v>12</v>
      </c>
      <c r="F30" s="7" t="s">
        <v>124</v>
      </c>
    </row>
    <row r="31" spans="1:6" ht="59" customHeight="1">
      <c r="A31" s="18"/>
      <c r="B31" s="7" t="s">
        <v>125</v>
      </c>
      <c r="C31" s="7" t="s">
        <v>126</v>
      </c>
      <c r="D31" s="7" t="s">
        <v>127</v>
      </c>
      <c r="E31" s="7">
        <f t="shared" si="0"/>
        <v>10</v>
      </c>
      <c r="F31" s="7" t="s">
        <v>128</v>
      </c>
    </row>
    <row r="32" spans="1:6" ht="59" customHeight="1">
      <c r="A32" s="13" t="s">
        <v>129</v>
      </c>
      <c r="B32" s="6" t="s">
        <v>130</v>
      </c>
      <c r="C32" s="6" t="s">
        <v>131</v>
      </c>
      <c r="D32" s="6" t="s">
        <v>132</v>
      </c>
      <c r="E32" s="6">
        <f t="shared" si="0"/>
        <v>21</v>
      </c>
      <c r="F32" s="6" t="s">
        <v>133</v>
      </c>
    </row>
    <row r="33" spans="1:6" ht="59" customHeight="1">
      <c r="A33" s="14"/>
      <c r="B33" s="6" t="s">
        <v>134</v>
      </c>
      <c r="C33" s="6" t="s">
        <v>135</v>
      </c>
      <c r="D33" s="6" t="s">
        <v>136</v>
      </c>
      <c r="E33" s="6">
        <f t="shared" si="0"/>
        <v>1</v>
      </c>
      <c r="F33" s="6" t="s">
        <v>137</v>
      </c>
    </row>
    <row r="34" spans="1:6" ht="46" customHeight="1">
      <c r="A34" s="14"/>
      <c r="B34" s="6" t="s">
        <v>138</v>
      </c>
      <c r="C34" s="6" t="s">
        <v>139</v>
      </c>
      <c r="D34" s="6" t="s">
        <v>140</v>
      </c>
      <c r="E34" s="6">
        <f t="shared" si="0"/>
        <v>20</v>
      </c>
      <c r="F34" s="6" t="s">
        <v>141</v>
      </c>
    </row>
    <row r="35" spans="1:6" ht="46" customHeight="1">
      <c r="A35" s="14"/>
      <c r="B35" s="6" t="s">
        <v>142</v>
      </c>
      <c r="C35" s="6" t="s">
        <v>143</v>
      </c>
      <c r="D35" s="6" t="s">
        <v>144</v>
      </c>
      <c r="E35" s="6">
        <f t="shared" si="0"/>
        <v>17</v>
      </c>
      <c r="F35" s="6" t="s">
        <v>145</v>
      </c>
    </row>
    <row r="36" spans="1:6" ht="74" customHeight="1">
      <c r="A36" s="14"/>
      <c r="B36" s="6" t="s">
        <v>146</v>
      </c>
      <c r="C36" s="6" t="s">
        <v>147</v>
      </c>
      <c r="D36" s="6" t="s">
        <v>148</v>
      </c>
      <c r="E36" s="6">
        <f t="shared" si="0"/>
        <v>12</v>
      </c>
      <c r="F36" s="6" t="s">
        <v>149</v>
      </c>
    </row>
    <row r="37" spans="1:6" ht="59" customHeight="1">
      <c r="A37" s="14"/>
      <c r="B37" s="6" t="s">
        <v>150</v>
      </c>
      <c r="C37" s="6" t="s">
        <v>151</v>
      </c>
      <c r="D37" s="6" t="s">
        <v>152</v>
      </c>
      <c r="E37" s="6">
        <f t="shared" si="0"/>
        <v>3</v>
      </c>
      <c r="F37" s="6" t="s">
        <v>153</v>
      </c>
    </row>
    <row r="38" spans="1:6" ht="46" customHeight="1">
      <c r="A38" s="14"/>
      <c r="B38" s="6" t="s">
        <v>154</v>
      </c>
      <c r="C38" s="6" t="s">
        <v>155</v>
      </c>
      <c r="D38" s="6" t="s">
        <v>156</v>
      </c>
      <c r="E38" s="6">
        <f t="shared" si="0"/>
        <v>7</v>
      </c>
      <c r="F38" s="6" t="s">
        <v>157</v>
      </c>
    </row>
    <row r="39" spans="1:6" ht="59" customHeight="1">
      <c r="A39" s="15"/>
      <c r="B39" s="6" t="s">
        <v>158</v>
      </c>
      <c r="C39" s="6" t="s">
        <v>159</v>
      </c>
      <c r="D39" s="6" t="s">
        <v>160</v>
      </c>
      <c r="E39" s="6">
        <f t="shared" si="0"/>
        <v>6</v>
      </c>
      <c r="F39" s="6" t="s">
        <v>161</v>
      </c>
    </row>
    <row r="40" spans="1:6" ht="59" customHeight="1">
      <c r="A40" s="16" t="s">
        <v>162</v>
      </c>
      <c r="B40" s="7" t="s">
        <v>163</v>
      </c>
      <c r="C40" s="7" t="s">
        <v>164</v>
      </c>
      <c r="D40" s="7" t="s">
        <v>165</v>
      </c>
      <c r="E40" s="7">
        <f t="shared" si="0"/>
        <v>14</v>
      </c>
      <c r="F40" s="7" t="s">
        <v>166</v>
      </c>
    </row>
    <row r="41" spans="1:6" ht="59" customHeight="1">
      <c r="A41" s="18"/>
      <c r="B41" s="7" t="s">
        <v>167</v>
      </c>
      <c r="C41" s="7" t="s">
        <v>168</v>
      </c>
      <c r="D41" s="7" t="s">
        <v>169</v>
      </c>
      <c r="E41" s="7">
        <f t="shared" si="0"/>
        <v>19</v>
      </c>
      <c r="F41" s="7" t="s">
        <v>170</v>
      </c>
    </row>
    <row r="42" spans="1:6" ht="46" customHeight="1">
      <c r="A42" s="13" t="s">
        <v>171</v>
      </c>
      <c r="B42" s="6" t="s">
        <v>172</v>
      </c>
      <c r="C42" s="6" t="s">
        <v>173</v>
      </c>
      <c r="D42" s="6" t="s">
        <v>174</v>
      </c>
      <c r="E42" s="6">
        <f t="shared" si="0"/>
        <v>7</v>
      </c>
      <c r="F42" s="6" t="s">
        <v>175</v>
      </c>
    </row>
    <row r="43" spans="1:6" ht="59" customHeight="1">
      <c r="A43" s="14"/>
      <c r="B43" s="6" t="s">
        <v>176</v>
      </c>
      <c r="C43" s="6" t="s">
        <v>177</v>
      </c>
      <c r="D43" s="6" t="s">
        <v>178</v>
      </c>
      <c r="E43" s="6">
        <f t="shared" si="0"/>
        <v>21</v>
      </c>
      <c r="F43" s="6" t="s">
        <v>179</v>
      </c>
    </row>
    <row r="44" spans="1:6" ht="89" customHeight="1">
      <c r="A44" s="14"/>
      <c r="B44" s="6" t="s">
        <v>180</v>
      </c>
      <c r="C44" s="6" t="s">
        <v>181</v>
      </c>
      <c r="D44" s="6" t="s">
        <v>182</v>
      </c>
      <c r="E44" s="6">
        <f t="shared" si="0"/>
        <v>18</v>
      </c>
      <c r="F44" s="6" t="s">
        <v>183</v>
      </c>
    </row>
    <row r="45" spans="1:6" ht="59" customHeight="1">
      <c r="A45" s="14"/>
      <c r="B45" s="6" t="s">
        <v>184</v>
      </c>
      <c r="C45" s="6" t="s">
        <v>185</v>
      </c>
      <c r="D45" s="6" t="s">
        <v>186</v>
      </c>
      <c r="E45" s="6">
        <f t="shared" si="0"/>
        <v>20</v>
      </c>
      <c r="F45" s="6" t="s">
        <v>187</v>
      </c>
    </row>
    <row r="46" spans="1:6" ht="59" customHeight="1">
      <c r="A46" s="14"/>
      <c r="B46" s="6" t="s">
        <v>188</v>
      </c>
      <c r="C46" s="6" t="s">
        <v>189</v>
      </c>
      <c r="D46" s="6" t="s">
        <v>190</v>
      </c>
      <c r="E46" s="6">
        <f t="shared" si="0"/>
        <v>23</v>
      </c>
      <c r="F46" s="6" t="s">
        <v>191</v>
      </c>
    </row>
    <row r="47" spans="1:6" ht="59" customHeight="1">
      <c r="A47" s="15"/>
      <c r="B47" s="6" t="s">
        <v>192</v>
      </c>
      <c r="C47" s="6" t="s">
        <v>193</v>
      </c>
      <c r="D47" s="6" t="s">
        <v>194</v>
      </c>
      <c r="E47" s="6">
        <f t="shared" si="0"/>
        <v>15</v>
      </c>
      <c r="F47" s="6" t="s">
        <v>195</v>
      </c>
    </row>
  </sheetData>
  <mergeCells count="10">
    <mergeCell ref="A22:A25"/>
    <mergeCell ref="A26:A31"/>
    <mergeCell ref="A32:A39"/>
    <mergeCell ref="A40:A41"/>
    <mergeCell ref="A42:A47"/>
    <mergeCell ref="A1:F1"/>
    <mergeCell ref="A4:A6"/>
    <mergeCell ref="A7:A9"/>
    <mergeCell ref="A10:A11"/>
    <mergeCell ref="A12:A2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35"/>
  <sheetViews>
    <sheetView showGridLines="0" workbookViewId="0">
      <pane ySplit="8" topLeftCell="A9" activePane="bottomLeft" state="frozen"/>
      <selection pane="bottomLeft" sqref="A1:F1"/>
    </sheetView>
  </sheetViews>
  <sheetFormatPr baseColWidth="10" defaultColWidth="8.83203125" defaultRowHeight="15"/>
  <cols>
    <col min="1" max="1" width="22" customWidth="1"/>
    <col min="2" max="5" width="16" customWidth="1"/>
    <col min="6" max="6" width="112" customWidth="1"/>
  </cols>
  <sheetData>
    <row r="1" spans="1:6" ht="31" customHeight="1">
      <c r="A1" s="19" t="s">
        <v>199</v>
      </c>
      <c r="B1" s="19"/>
      <c r="C1" s="19"/>
      <c r="D1" s="19"/>
      <c r="E1" s="19"/>
      <c r="F1" s="19"/>
    </row>
    <row r="2" spans="1:6" ht="43" customHeight="1">
      <c r="A2" s="20" t="s">
        <v>200</v>
      </c>
      <c r="B2" s="20"/>
      <c r="C2" s="20"/>
      <c r="D2" s="20"/>
      <c r="E2" s="20"/>
      <c r="F2" s="20"/>
    </row>
    <row r="3" spans="1:6">
      <c r="A3" s="10"/>
      <c r="B3" s="10"/>
      <c r="C3" s="10"/>
      <c r="D3" s="10"/>
      <c r="E3" s="10"/>
      <c r="F3" s="10"/>
    </row>
    <row r="4" spans="1:6" ht="48" customHeight="1">
      <c r="A4" s="5" t="s">
        <v>201</v>
      </c>
      <c r="B4" s="5">
        <v>12</v>
      </c>
      <c r="C4" s="5" t="s">
        <v>197</v>
      </c>
      <c r="D4" s="5">
        <v>116</v>
      </c>
      <c r="E4" s="5" t="s">
        <v>202</v>
      </c>
      <c r="F4" s="5" t="s">
        <v>203</v>
      </c>
    </row>
    <row r="5" spans="1:6" ht="48" customHeight="1">
      <c r="A5" s="5" t="s">
        <v>204</v>
      </c>
      <c r="B5" s="5">
        <v>15</v>
      </c>
      <c r="C5" s="5" t="s">
        <v>197</v>
      </c>
      <c r="D5" s="5">
        <v>119</v>
      </c>
      <c r="E5" s="5" t="s">
        <v>202</v>
      </c>
      <c r="F5" s="5" t="s">
        <v>205</v>
      </c>
    </row>
    <row r="6" spans="1:6" ht="48" customHeight="1">
      <c r="A6" s="4" t="s">
        <v>4</v>
      </c>
      <c r="B6" s="21" t="s">
        <v>206</v>
      </c>
      <c r="C6" s="21"/>
      <c r="D6" s="21"/>
      <c r="E6" s="21"/>
      <c r="F6" s="21"/>
    </row>
    <row r="7" spans="1:6">
      <c r="A7" s="10"/>
      <c r="B7" s="10"/>
      <c r="C7" s="10"/>
      <c r="D7" s="10"/>
      <c r="E7" s="10"/>
      <c r="F7" s="10"/>
    </row>
    <row r="8" spans="1:6" ht="35" customHeight="1">
      <c r="A8" s="1" t="s">
        <v>196</v>
      </c>
      <c r="B8" s="1" t="s">
        <v>197</v>
      </c>
      <c r="C8" s="1" t="s">
        <v>207</v>
      </c>
      <c r="D8" s="1" t="s">
        <v>208</v>
      </c>
      <c r="E8" s="1" t="s">
        <v>209</v>
      </c>
      <c r="F8" s="1" t="s">
        <v>210</v>
      </c>
    </row>
    <row r="9" spans="1:6" ht="72" customHeight="1">
      <c r="A9" s="3">
        <v>1</v>
      </c>
      <c r="B9" s="3">
        <v>102</v>
      </c>
      <c r="C9" s="3">
        <f t="shared" ref="C9:C35" si="0">IF(F9="",0,LEN(F9)-LEN(SUBSTITUTE(F9,";",""))+1)</f>
        <v>27</v>
      </c>
      <c r="D9" s="3">
        <f>SUM($C$9:C9)</f>
        <v>27</v>
      </c>
      <c r="E9" s="3">
        <f>IF(C9=0,1,0)</f>
        <v>0</v>
      </c>
      <c r="F9" s="3" t="s">
        <v>198</v>
      </c>
    </row>
    <row r="10" spans="1:6" ht="14" customHeight="1">
      <c r="A10" s="3">
        <v>2</v>
      </c>
      <c r="B10" s="3">
        <v>104</v>
      </c>
      <c r="C10" s="3">
        <f t="shared" si="0"/>
        <v>4</v>
      </c>
      <c r="D10" s="3">
        <f>SUM($C$9:C10)</f>
        <v>31</v>
      </c>
      <c r="E10" s="3">
        <f t="shared" ref="E10:E35" si="1">IF(C10=0,E9+1,0)</f>
        <v>0</v>
      </c>
      <c r="F10" s="3" t="s">
        <v>211</v>
      </c>
    </row>
    <row r="11" spans="1:6" ht="14" customHeight="1">
      <c r="A11" s="3">
        <v>3</v>
      </c>
      <c r="B11" s="3">
        <v>105</v>
      </c>
      <c r="C11" s="3">
        <f t="shared" si="0"/>
        <v>3</v>
      </c>
      <c r="D11" s="3">
        <f>SUM($C$9:C11)</f>
        <v>34</v>
      </c>
      <c r="E11" s="3">
        <f t="shared" si="1"/>
        <v>0</v>
      </c>
      <c r="F11" s="3" t="s">
        <v>212</v>
      </c>
    </row>
    <row r="12" spans="1:6" ht="14" customHeight="1">
      <c r="A12" s="3">
        <v>4</v>
      </c>
      <c r="B12" s="3">
        <v>107</v>
      </c>
      <c r="C12" s="3">
        <f t="shared" si="0"/>
        <v>2</v>
      </c>
      <c r="D12" s="3">
        <f>SUM($C$9:C12)</f>
        <v>36</v>
      </c>
      <c r="E12" s="3">
        <f t="shared" si="1"/>
        <v>0</v>
      </c>
      <c r="F12" s="3" t="s">
        <v>213</v>
      </c>
    </row>
    <row r="13" spans="1:6" ht="14" customHeight="1">
      <c r="A13" s="3">
        <v>5</v>
      </c>
      <c r="B13" s="3">
        <v>108</v>
      </c>
      <c r="C13" s="3">
        <f t="shared" si="0"/>
        <v>4</v>
      </c>
      <c r="D13" s="3">
        <f>SUM($C$9:C13)</f>
        <v>40</v>
      </c>
      <c r="E13" s="3">
        <f t="shared" si="1"/>
        <v>0</v>
      </c>
      <c r="F13" s="3" t="s">
        <v>214</v>
      </c>
    </row>
    <row r="14" spans="1:6" ht="14" customHeight="1">
      <c r="A14" s="3">
        <v>6</v>
      </c>
      <c r="B14" s="3">
        <v>109</v>
      </c>
      <c r="C14" s="3">
        <f t="shared" si="0"/>
        <v>1</v>
      </c>
      <c r="D14" s="3">
        <f>SUM($C$9:C14)</f>
        <v>41</v>
      </c>
      <c r="E14" s="3">
        <f t="shared" si="1"/>
        <v>0</v>
      </c>
      <c r="F14" s="3" t="s">
        <v>172</v>
      </c>
    </row>
    <row r="15" spans="1:6" ht="14" customHeight="1">
      <c r="A15" s="3">
        <v>7</v>
      </c>
      <c r="B15" s="3">
        <v>110</v>
      </c>
      <c r="C15" s="3">
        <f t="shared" si="0"/>
        <v>1</v>
      </c>
      <c r="D15" s="3">
        <f>SUM($C$9:C15)</f>
        <v>42</v>
      </c>
      <c r="E15" s="3">
        <f t="shared" si="1"/>
        <v>0</v>
      </c>
      <c r="F15" s="3" t="s">
        <v>71</v>
      </c>
    </row>
    <row r="16" spans="1:6" ht="14" customHeight="1">
      <c r="A16" s="3">
        <v>8</v>
      </c>
      <c r="B16" s="3">
        <v>112</v>
      </c>
      <c r="C16" s="3">
        <f t="shared" si="0"/>
        <v>0</v>
      </c>
      <c r="D16" s="3">
        <f>SUM($C$9:C16)</f>
        <v>42</v>
      </c>
      <c r="E16" s="3">
        <f t="shared" si="1"/>
        <v>1</v>
      </c>
      <c r="F16" s="3"/>
    </row>
    <row r="17" spans="1:6" ht="14" customHeight="1">
      <c r="A17" s="3">
        <v>9</v>
      </c>
      <c r="B17" s="3">
        <v>113</v>
      </c>
      <c r="C17" s="3">
        <f t="shared" si="0"/>
        <v>0</v>
      </c>
      <c r="D17" s="3">
        <f>SUM($C$9:C17)</f>
        <v>42</v>
      </c>
      <c r="E17" s="3">
        <f t="shared" si="1"/>
        <v>2</v>
      </c>
      <c r="F17" s="3"/>
    </row>
    <row r="18" spans="1:6" ht="14" customHeight="1">
      <c r="A18" s="3">
        <v>10</v>
      </c>
      <c r="B18" s="3">
        <v>114</v>
      </c>
      <c r="C18" s="3">
        <f t="shared" si="0"/>
        <v>1</v>
      </c>
      <c r="D18" s="3">
        <f>SUM($C$9:C18)</f>
        <v>43</v>
      </c>
      <c r="E18" s="3">
        <f t="shared" si="1"/>
        <v>0</v>
      </c>
      <c r="F18" s="3" t="s">
        <v>134</v>
      </c>
    </row>
    <row r="19" spans="1:6" ht="14" customHeight="1">
      <c r="A19" s="2">
        <v>11</v>
      </c>
      <c r="B19" s="2">
        <v>115</v>
      </c>
      <c r="C19" s="2">
        <f t="shared" si="0"/>
        <v>0</v>
      </c>
      <c r="D19" s="2">
        <f>SUM($C$9:C19)</f>
        <v>43</v>
      </c>
      <c r="E19" s="2">
        <f t="shared" si="1"/>
        <v>1</v>
      </c>
      <c r="F19" s="2"/>
    </row>
    <row r="20" spans="1:6" ht="14" customHeight="1">
      <c r="A20" s="3">
        <v>12</v>
      </c>
      <c r="B20" s="3">
        <v>116</v>
      </c>
      <c r="C20" s="3">
        <f t="shared" si="0"/>
        <v>1</v>
      </c>
      <c r="D20" s="3">
        <f>SUM($C$9:C20)</f>
        <v>44</v>
      </c>
      <c r="E20" s="3">
        <f t="shared" si="1"/>
        <v>0</v>
      </c>
      <c r="F20" s="3" t="s">
        <v>158</v>
      </c>
    </row>
    <row r="21" spans="1:6" ht="14" customHeight="1">
      <c r="A21" s="2">
        <v>13</v>
      </c>
      <c r="B21" s="2">
        <v>117</v>
      </c>
      <c r="C21" s="2">
        <f t="shared" si="0"/>
        <v>0</v>
      </c>
      <c r="D21" s="2">
        <f>SUM($C$9:C21)</f>
        <v>44</v>
      </c>
      <c r="E21" s="2">
        <f t="shared" si="1"/>
        <v>1</v>
      </c>
      <c r="F21" s="2"/>
    </row>
    <row r="22" spans="1:6" ht="14" customHeight="1">
      <c r="A22" s="2">
        <v>14</v>
      </c>
      <c r="B22" s="2">
        <v>118</v>
      </c>
      <c r="C22" s="2">
        <f t="shared" si="0"/>
        <v>0</v>
      </c>
      <c r="D22" s="2">
        <f>SUM($C$9:C22)</f>
        <v>44</v>
      </c>
      <c r="E22" s="2">
        <f t="shared" si="1"/>
        <v>2</v>
      </c>
      <c r="F22" s="2"/>
    </row>
    <row r="23" spans="1:6" ht="14" customHeight="1">
      <c r="A23" s="5">
        <v>15</v>
      </c>
      <c r="B23" s="5">
        <v>119</v>
      </c>
      <c r="C23" s="5">
        <f t="shared" si="0"/>
        <v>0</v>
      </c>
      <c r="D23" s="5">
        <f>SUM($C$9:C23)</f>
        <v>44</v>
      </c>
      <c r="E23" s="5">
        <f t="shared" si="1"/>
        <v>3</v>
      </c>
      <c r="F23" s="5"/>
    </row>
    <row r="24" spans="1:6" ht="14" customHeight="1">
      <c r="A24" s="5">
        <v>16</v>
      </c>
      <c r="B24" s="5">
        <v>120</v>
      </c>
      <c r="C24" s="5">
        <f t="shared" si="0"/>
        <v>0</v>
      </c>
      <c r="D24" s="5">
        <f>SUM($C$9:C24)</f>
        <v>44</v>
      </c>
      <c r="E24" s="5">
        <f t="shared" si="1"/>
        <v>4</v>
      </c>
      <c r="F24" s="5"/>
    </row>
    <row r="25" spans="1:6" ht="14" customHeight="1">
      <c r="A25" s="5">
        <v>17</v>
      </c>
      <c r="B25" s="5">
        <v>121</v>
      </c>
      <c r="C25" s="5">
        <f t="shared" si="0"/>
        <v>0</v>
      </c>
      <c r="D25" s="5">
        <f>SUM($C$9:C25)</f>
        <v>44</v>
      </c>
      <c r="E25" s="5">
        <f t="shared" si="1"/>
        <v>5</v>
      </c>
      <c r="F25" s="5"/>
    </row>
    <row r="26" spans="1:6" ht="14" customHeight="1">
      <c r="A26" s="5">
        <v>18</v>
      </c>
      <c r="B26" s="5">
        <v>122</v>
      </c>
      <c r="C26" s="5">
        <f t="shared" si="0"/>
        <v>0</v>
      </c>
      <c r="D26" s="5">
        <f>SUM($C$9:C26)</f>
        <v>44</v>
      </c>
      <c r="E26" s="5">
        <f t="shared" si="1"/>
        <v>6</v>
      </c>
      <c r="F26" s="5"/>
    </row>
    <row r="27" spans="1:6" ht="14" customHeight="1">
      <c r="A27" s="5">
        <v>19</v>
      </c>
      <c r="B27" s="5">
        <v>124</v>
      </c>
      <c r="C27" s="5">
        <f t="shared" si="0"/>
        <v>0</v>
      </c>
      <c r="D27" s="5">
        <f>SUM($C$9:C27)</f>
        <v>44</v>
      </c>
      <c r="E27" s="5">
        <f t="shared" si="1"/>
        <v>7</v>
      </c>
      <c r="F27" s="5"/>
    </row>
    <row r="28" spans="1:6" ht="14" customHeight="1">
      <c r="A28" s="5">
        <v>20</v>
      </c>
      <c r="B28" s="5">
        <v>125</v>
      </c>
      <c r="C28" s="5">
        <f t="shared" si="0"/>
        <v>0</v>
      </c>
      <c r="D28" s="5">
        <f>SUM($C$9:C28)</f>
        <v>44</v>
      </c>
      <c r="E28" s="5">
        <f t="shared" si="1"/>
        <v>8</v>
      </c>
      <c r="F28" s="5"/>
    </row>
    <row r="29" spans="1:6" ht="14" customHeight="1">
      <c r="A29" s="5">
        <v>21</v>
      </c>
      <c r="B29" s="5">
        <v>126</v>
      </c>
      <c r="C29" s="5">
        <f t="shared" si="0"/>
        <v>0</v>
      </c>
      <c r="D29" s="5">
        <f>SUM($C$9:C29)</f>
        <v>44</v>
      </c>
      <c r="E29" s="5">
        <f t="shared" si="1"/>
        <v>9</v>
      </c>
      <c r="F29" s="5"/>
    </row>
    <row r="30" spans="1:6" ht="14" customHeight="1">
      <c r="A30" s="5">
        <v>22</v>
      </c>
      <c r="B30" s="5">
        <v>127</v>
      </c>
      <c r="C30" s="5">
        <f t="shared" si="0"/>
        <v>0</v>
      </c>
      <c r="D30" s="5">
        <f>SUM($C$9:C30)</f>
        <v>44</v>
      </c>
      <c r="E30" s="5">
        <f t="shared" si="1"/>
        <v>10</v>
      </c>
      <c r="F30" s="5"/>
    </row>
    <row r="31" spans="1:6" ht="14" customHeight="1">
      <c r="A31" s="5">
        <v>23</v>
      </c>
      <c r="B31" s="5">
        <v>128</v>
      </c>
      <c r="C31" s="5">
        <f t="shared" si="0"/>
        <v>0</v>
      </c>
      <c r="D31" s="5">
        <f>SUM($C$9:C31)</f>
        <v>44</v>
      </c>
      <c r="E31" s="5">
        <f t="shared" si="1"/>
        <v>11</v>
      </c>
      <c r="F31" s="5"/>
    </row>
    <row r="32" spans="1:6" ht="14" customHeight="1">
      <c r="A32" s="5">
        <v>24</v>
      </c>
      <c r="B32" s="5">
        <v>130</v>
      </c>
      <c r="C32" s="5">
        <f t="shared" si="0"/>
        <v>0</v>
      </c>
      <c r="D32" s="5">
        <f>SUM($C$9:C32)</f>
        <v>44</v>
      </c>
      <c r="E32" s="5">
        <f t="shared" si="1"/>
        <v>12</v>
      </c>
      <c r="F32" s="5"/>
    </row>
    <row r="33" spans="1:6" ht="14" customHeight="1">
      <c r="A33" s="5">
        <v>25</v>
      </c>
      <c r="B33" s="5">
        <v>131</v>
      </c>
      <c r="C33" s="5">
        <f t="shared" si="0"/>
        <v>0</v>
      </c>
      <c r="D33" s="5">
        <f>SUM($C$9:C33)</f>
        <v>44</v>
      </c>
      <c r="E33" s="5">
        <f t="shared" si="1"/>
        <v>13</v>
      </c>
      <c r="F33" s="5"/>
    </row>
    <row r="34" spans="1:6" ht="14" customHeight="1">
      <c r="A34" s="5">
        <v>26</v>
      </c>
      <c r="B34" s="5">
        <v>133</v>
      </c>
      <c r="C34" s="5">
        <f t="shared" si="0"/>
        <v>0</v>
      </c>
      <c r="D34" s="5">
        <f>SUM($C$9:C34)</f>
        <v>44</v>
      </c>
      <c r="E34" s="5">
        <f t="shared" si="1"/>
        <v>14</v>
      </c>
      <c r="F34" s="5"/>
    </row>
    <row r="35" spans="1:6" ht="14" customHeight="1">
      <c r="A35">
        <v>27</v>
      </c>
      <c r="B35">
        <v>203</v>
      </c>
      <c r="C35">
        <f t="shared" si="0"/>
        <v>0</v>
      </c>
      <c r="D35">
        <f>SUM($C$9:C35)</f>
        <v>44</v>
      </c>
      <c r="E35">
        <f t="shared" si="1"/>
        <v>15</v>
      </c>
    </row>
  </sheetData>
  <mergeCells count="3">
    <mergeCell ref="A1:F1"/>
    <mergeCell ref="A2:F2"/>
    <mergeCell ref="B6:F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Read Me</vt:lpstr>
      <vt:lpstr>Codebook</vt:lpstr>
      <vt:lpstr>Saturation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Fang, Zihan</cp:lastModifiedBy>
  <dcterms:modified xsi:type="dcterms:W3CDTF">2026-09-24T17:35:30Z</dcterms:modified>
</cp:coreProperties>
</file>